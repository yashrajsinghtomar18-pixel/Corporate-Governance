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60960C5F-020F-0645-A4B1-B200ED6071E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ver" sheetId="1" r:id="rId1"/>
    <sheet name="1. Company Profile" sheetId="2" r:id="rId2"/>
    <sheet name="2. Board Composition" sheetId="3" r:id="rId3"/>
    <sheet name="3. Committee Structure" sheetId="4" r:id="rId4"/>
    <sheet name="4. CSR &amp; ESG" sheetId="5" r:id="rId5"/>
    <sheet name="5. Related Party &amp; Risk" sheetId="6" r:id="rId6"/>
    <sheet name="6. Governance Scorecard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7" l="1"/>
  <c r="B24" i="7"/>
  <c r="A24" i="7"/>
  <c r="F14" i="7"/>
  <c r="B23" i="7"/>
  <c r="A23" i="7"/>
  <c r="E14" i="7"/>
  <c r="B22" i="7"/>
  <c r="A22" i="7"/>
  <c r="D14" i="7"/>
  <c r="B21" i="7"/>
  <c r="A21" i="7"/>
  <c r="C14" i="7"/>
  <c r="B20" i="7"/>
  <c r="A20" i="7"/>
  <c r="G15" i="7"/>
  <c r="F15" i="7"/>
  <c r="E15" i="7"/>
  <c r="D15" i="7"/>
  <c r="C15" i="7"/>
  <c r="B12" i="7"/>
  <c r="C9" i="5"/>
  <c r="E9" i="5"/>
  <c r="C8" i="5"/>
  <c r="E8" i="5"/>
  <c r="C7" i="5"/>
  <c r="E7" i="5"/>
  <c r="C6" i="5"/>
  <c r="E6" i="5"/>
  <c r="C5" i="5"/>
  <c r="E5" i="5"/>
  <c r="G9" i="4"/>
  <c r="G8" i="4"/>
  <c r="G7" i="4"/>
  <c r="G6" i="4"/>
  <c r="G5" i="4"/>
  <c r="I11" i="3"/>
  <c r="H11" i="3"/>
  <c r="G11" i="3"/>
  <c r="F5" i="3"/>
  <c r="F6" i="3"/>
  <c r="F7" i="3"/>
  <c r="F8" i="3"/>
  <c r="F9" i="3"/>
  <c r="F11" i="3"/>
  <c r="E11" i="3"/>
  <c r="D11" i="3"/>
  <c r="C11" i="3"/>
  <c r="B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400-000001000000}">
      <text>
        <r>
          <rPr>
            <sz val="10"/>
            <rFont val="Arial"/>
            <family val="2"/>
          </rPr>
          <t>Net profit and CSR spend figures are illustrative, rounded approximations for academic comparison. Replace with exact figures from each company's Annual Report / CSR disclosure (MCA Form CSR-2) before final submission.</t>
        </r>
      </text>
    </comment>
  </commentList>
</comments>
</file>

<file path=xl/sharedStrings.xml><?xml version="1.0" encoding="utf-8"?>
<sst xmlns="http://schemas.openxmlformats.org/spreadsheetml/2006/main" count="211" uniqueCount="118">
  <si>
    <t>A Comparative Study of Corporate Governance Practices</t>
  </si>
  <si>
    <t>in Selected Indian Companies — Supporting Data Workbook</t>
  </si>
  <si>
    <t>Prepared by:</t>
  </si>
  <si>
    <t>Yashraj Tomar</t>
  </si>
  <si>
    <t>Roll Number:</t>
  </si>
  <si>
    <t>2024/0016</t>
  </si>
  <si>
    <t>Programme:</t>
  </si>
  <si>
    <t>B.Com (Hons.)</t>
  </si>
  <si>
    <t>Subject/Elective:</t>
  </si>
  <si>
    <t>Company Secretarial (CS) Practice</t>
  </si>
  <si>
    <t>Academic Year:</t>
  </si>
  <si>
    <t>2025-26</t>
  </si>
  <si>
    <t>This workbook</t>
  </si>
  <si>
    <t>This workbook accompanies the project report 'A Comparative Study of Corporate Governance Practices in Selected Indian Companies'. It contains the raw comparative data, a weighted governance-scoring model, and charts referenced in the Word report.</t>
  </si>
  <si>
    <t>Contents</t>
  </si>
  <si>
    <t>1. Company Profile</t>
  </si>
  <si>
    <t>Basic incorporation, listing and sector details of the five sample companies</t>
  </si>
  <si>
    <t>2. Board Composition</t>
  </si>
  <si>
    <t>Board size, category-wise split, women directors, meetings and attendance</t>
  </si>
  <si>
    <t>3. Committee Structure</t>
  </si>
  <si>
    <t>Mandatory Board committees and whether each company has constituted them</t>
  </si>
  <si>
    <t>4. CSR &amp; ESG Disclosure</t>
  </si>
  <si>
    <t>CSR obligation, actual spend and ESG/BRSR reporting status</t>
  </si>
  <si>
    <t>5. Related Party &amp; Risk</t>
  </si>
  <si>
    <t>Related-party transaction policy and risk management disclosures</t>
  </si>
  <si>
    <t>6. Governance Scorecard</t>
  </si>
  <si>
    <t>Weighted scoring model (0-5 scale) computing a Composite Governance Index per company</t>
  </si>
  <si>
    <t>7. Charts</t>
  </si>
  <si>
    <t>Visual comparison charts used in the report</t>
  </si>
  <si>
    <t>Company Profile of the Sample</t>
  </si>
  <si>
    <t>Basic incorporation, listing and sector information</t>
  </si>
  <si>
    <t>Company</t>
  </si>
  <si>
    <t>Sector</t>
  </si>
  <si>
    <t>Year of Incorporation</t>
  </si>
  <si>
    <t>Stock Exchanges Listed</t>
  </si>
  <si>
    <t>Ownership Pattern (Promoter Group)</t>
  </si>
  <si>
    <t>Market Positioning</t>
  </si>
  <si>
    <t>Tata Consultancy Services</t>
  </si>
  <si>
    <t>IT Services</t>
  </si>
  <si>
    <t>NSE, BSE</t>
  </si>
  <si>
    <t>Tata Sons (Promoter Group) - majority holding</t>
  </si>
  <si>
    <t>India's largest IT services exporter by revenue</t>
  </si>
  <si>
    <t>Reliance Industries</t>
  </si>
  <si>
    <t>Conglomerate (Energy, Retail, Telecom)</t>
  </si>
  <si>
    <t>Promoter family (Ambani group) - significant holding</t>
  </si>
  <si>
    <t>India's largest private-sector company by revenue/market cap</t>
  </si>
  <si>
    <t>Infosys</t>
  </si>
  <si>
    <t>NSE, BSE (also ADR on NYSE)</t>
  </si>
  <si>
    <t>Widely held; founders hold a minor residual stake</t>
  </si>
  <si>
    <t>Second-largest Indian IT services company</t>
  </si>
  <si>
    <t>HDFC Bank</t>
  </si>
  <si>
    <t>Banking / Financial Services</t>
  </si>
  <si>
    <t>Widely held institutional/FII/retail; no single promoter (post HDFC Ltd. merger 2023)</t>
  </si>
  <si>
    <t>India's largest private-sector bank by assets</t>
  </si>
  <si>
    <t>ITC Limited</t>
  </si>
  <si>
    <t>FMCG / Diversified (Cigarettes, FMCG, Hotels, Agri, Paperboards)</t>
  </si>
  <si>
    <t>Widely held; British American Tobacco (BAT) is the largest single shareholder</t>
  </si>
  <si>
    <t>Diversified conglomerate with dominant FMCG-cigarette franchise</t>
  </si>
  <si>
    <t>Board Composition — Comparative Data</t>
  </si>
  <si>
    <t>Category-wise composition of the Board of Directors (latest reported financial year)</t>
  </si>
  <si>
    <t>Total Board Strength</t>
  </si>
  <si>
    <t>Executive Directors</t>
  </si>
  <si>
    <t>Non-Executive (Non-Independent) Directors</t>
  </si>
  <si>
    <t>Independent Directors</t>
  </si>
  <si>
    <t>% Independent Directors</t>
  </si>
  <si>
    <t>Women Directors</t>
  </si>
  <si>
    <t>Board Meetings Held (FY)</t>
  </si>
  <si>
    <t>Average Attendance %</t>
  </si>
  <si>
    <t>Sample Average</t>
  </si>
  <si>
    <t>SEBI LODR Minimum Requirement*</t>
  </si>
  <si>
    <t>*Regulation 17, SEBI (LODR) Regulations, 2015: at least 1/3rd Independent Directors if the Chairperson is Independent/Non-Executive (related to promoter) and at least 1/2 Independent Directors if the Chairperson is an Executive Director. Top 1000 listed entities must also have at least one Independent Woman Director.</t>
  </si>
  <si>
    <t>Board Committee Structure — Comparative Checklist</t>
  </si>
  <si>
    <t>Y = Constituted, N = Not disclosed as a separate committee</t>
  </si>
  <si>
    <t>Audit Committee</t>
  </si>
  <si>
    <t>Nomination &amp; Remuneration Committee</t>
  </si>
  <si>
    <t>Stakeholders Relationship Committee</t>
  </si>
  <si>
    <t>CSR Committee</t>
  </si>
  <si>
    <t>Risk Management Committee</t>
  </si>
  <si>
    <t>No. of Committees</t>
  </si>
  <si>
    <t>Chairperson of Board — Category</t>
  </si>
  <si>
    <t>Y</t>
  </si>
  <si>
    <t>Non-Executive, Non-Independent</t>
  </si>
  <si>
    <t>Executive (Chairman &amp; Managing Director)</t>
  </si>
  <si>
    <t>Non-Executive, Independent</t>
  </si>
  <si>
    <t>Non-Executive, Independent (Part-time Chairman)</t>
  </si>
  <si>
    <t>Risk Management Committee is mandatory under Regulation 21 of SEBI (LODR) Regulations, 2015 for the top 1000 listed entities by market capitalisation and, separately, for banks/NBFCs under RBI governance norms. CSR Committee is mandatory under Section 135, Companies Act, 2013, for companies meeting the net worth / turnover / net profit thresholds prescribed therein.</t>
  </si>
  <si>
    <t>CSR Obligation and ESG / BRSR Disclosure</t>
  </si>
  <si>
    <t>Figures in INR Crore unless stated; illustrative figures — verify against latest Annual Report / BRSR</t>
  </si>
  <si>
    <t>Avg. Net Profit (Last 3 FY, ₹ Cr)</t>
  </si>
  <si>
    <t>Prescribed CSR (2% of Avg. Net Profit, ₹ Cr)</t>
  </si>
  <si>
    <t>Actual CSR Spend (₹ Cr)</t>
  </si>
  <si>
    <t>CSR Spend as % of Prescribed</t>
  </si>
  <si>
    <t>BRSR Filed (Y/N)</t>
  </si>
  <si>
    <t>Independent ESG/Sustainability Committee (Y/N)</t>
  </si>
  <si>
    <t>Related Party Transactions &amp; Risk Governance</t>
  </si>
  <si>
    <t>Qualitative comparison of disclosure practices</t>
  </si>
  <si>
    <t>Written RPT Policy Disclosed</t>
  </si>
  <si>
    <t>Omnibus Approval by Audit Committee</t>
  </si>
  <si>
    <t>Separate Risk Management Policy</t>
  </si>
  <si>
    <t>Whistle-Blower / Vigil Mechanism</t>
  </si>
  <si>
    <t>Key Managerial Personnel (KMP) Disclosed</t>
  </si>
  <si>
    <t>All five sample companies, being large-cap top-listed entities, disclose a written Related Party Transaction (RPT) policy under Regulation 23, SEBI (LODR) Regulations, 2015 and Section 188, Companies Act, 2013, and maintain a Vigil Mechanism under Section 177(9). This sheet is a qualitative checklist — refer to each company's Corporate Governance Report for transaction-level RPT values.</t>
  </si>
  <si>
    <t>Weighted Corporate Governance Scorecard</t>
  </si>
  <si>
    <t>Composite Governance Index (0-5 scale) — scores are the student's assessed ratings; weights and formulas are live</t>
  </si>
  <si>
    <t>Parameter</t>
  </si>
  <si>
    <t>Weight (%)</t>
  </si>
  <si>
    <t>TCS</t>
  </si>
  <si>
    <t>Board Independence &amp; Diversity</t>
  </si>
  <si>
    <t>Committee Structure &amp; Coverage</t>
  </si>
  <si>
    <t>Disclosure &amp; Transparency (Annual Report/BRSR quality)</t>
  </si>
  <si>
    <t>CSR &amp; Sustainability Performance</t>
  </si>
  <si>
    <t>Related Party Transaction Governance</t>
  </si>
  <si>
    <t>Shareholder Rights &amp; Grievance Redressal</t>
  </si>
  <si>
    <t>Total Weight Check</t>
  </si>
  <si>
    <t>Composite Governance Index (out of 5)</t>
  </si>
  <si>
    <t>Rank (1 = Highest Governance Index)</t>
  </si>
  <si>
    <t>How to use this sheet: Cells shaded yellow (rows 6-11, columns C-G) are the only inputs. Each parameter is scored by the student on a 0-5 scale based on evidence gathered in the 'Comparative Analysis' chapter of the report (0 = poor/no disclosure, 5 = fully compliant with best practice). The Composite Governance Index and Rank recalculate automatically via SUMPRODUCT/RANK formulas — change any yellow cell and the index updates. Weights (column B) must sum to 100; the Total Weight Check cell confirms this.</t>
  </si>
  <si>
    <t>Composite Governance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</si>
</sst>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C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0" borderId="0" xfId="0" applyFont="1"/>
    <xf numFmtId="0" fontId="4" fillId="2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/>
    <xf numFmtId="165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164" fontId="5" fillId="0" borderId="0" xfId="0" applyNumberFormat="1" applyFont="1"/>
    <xf numFmtId="3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3" fillId="0" borderId="0" xfId="0" applyNumberFormat="1" applyFont="1"/>
    <xf numFmtId="0" fontId="4" fillId="2" borderId="1" xfId="0" applyFont="1" applyFill="1" applyBorder="1"/>
    <xf numFmtId="2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2" fontId="7" fillId="0" borderId="1" xfId="0" applyNumberFormat="1" applyFont="1" applyBorder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/>
    <xf numFmtId="0" fontId="0" fillId="0" borderId="0" xfId="0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Independent Directors as % of Board Strength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Board Composition'!F4</c:f>
              <c:strCache>
                <c:ptCount val="1"/>
                <c:pt idx="0">
                  <c:v>% Independent Directors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Board Composition'!$A$5:$A$9</c:f>
              <c:strCache>
                <c:ptCount val="5"/>
                <c:pt idx="0">
                  <c:v>Tata Consultancy Services</c:v>
                </c:pt>
                <c:pt idx="1">
                  <c:v>Reliance Industries</c:v>
                </c:pt>
                <c:pt idx="2">
                  <c:v>Infosys</c:v>
                </c:pt>
                <c:pt idx="3">
                  <c:v>HDFC Bank</c:v>
                </c:pt>
                <c:pt idx="4">
                  <c:v>ITC Limited</c:v>
                </c:pt>
              </c:strCache>
            </c:strRef>
          </c:cat>
          <c:val>
            <c:numRef>
              <c:f>'2. Board Composition'!$F$5:$F$9</c:f>
              <c:numCache>
                <c:formatCode>0.0%</c:formatCode>
                <c:ptCount val="5"/>
                <c:pt idx="0">
                  <c:v>0.63636363636363635</c:v>
                </c:pt>
                <c:pt idx="1">
                  <c:v>0.5</c:v>
                </c:pt>
                <c:pt idx="2">
                  <c:v>0.7</c:v>
                </c:pt>
                <c:pt idx="3">
                  <c:v>0.6428571428571429</c:v>
                </c:pt>
                <c:pt idx="4">
                  <c:v>0.53846153846153844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9-3946-9F93-3DE7C7D1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544"/>
        <c:axId val="40773085"/>
      </c:barChart>
      <c:catAx>
        <c:axId val="3637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73085"/>
        <c:crosses val="autoZero"/>
        <c:auto val="1"/>
        <c:lblAlgn val="ctr"/>
        <c:lblOffset val="100"/>
        <c:noMultiLvlLbl val="0"/>
      </c:catAx>
      <c:valAx>
        <c:axId val="40773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Independent Directors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7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Prescribed vs Actual CSR Spend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CSR &amp; ESG'!C4</c:f>
              <c:strCache>
                <c:ptCount val="1"/>
                <c:pt idx="0">
                  <c:v>Prescribed CSR (2% of Avg. Net Profit, ₹ Cr)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CSR &amp; ESG'!$A$5:$A$9</c:f>
              <c:strCache>
                <c:ptCount val="5"/>
                <c:pt idx="0">
                  <c:v>Tata Consultancy Services</c:v>
                </c:pt>
                <c:pt idx="1">
                  <c:v>Reliance Industries</c:v>
                </c:pt>
                <c:pt idx="2">
                  <c:v>Infosys</c:v>
                </c:pt>
                <c:pt idx="3">
                  <c:v>HDFC Bank</c:v>
                </c:pt>
                <c:pt idx="4">
                  <c:v>ITC Limited</c:v>
                </c:pt>
              </c:strCache>
            </c:strRef>
          </c:cat>
          <c:val>
            <c:numRef>
              <c:f>'4. CSR &amp; ESG'!$C$5:$C$9</c:f>
              <c:numCache>
                <c:formatCode>#,##0</c:formatCode>
                <c:ptCount val="5"/>
                <c:pt idx="0">
                  <c:v>900</c:v>
                </c:pt>
                <c:pt idx="1">
                  <c:v>1360</c:v>
                </c:pt>
                <c:pt idx="2">
                  <c:v>520</c:v>
                </c:pt>
                <c:pt idx="3">
                  <c:v>1040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6-6B41-9620-4A6829D6EAEB}"/>
            </c:ext>
          </c:extLst>
        </c:ser>
        <c:ser>
          <c:idx val="1"/>
          <c:order val="1"/>
          <c:tx>
            <c:strRef>
              <c:f>'4. CSR &amp; ESG'!D4</c:f>
              <c:strCache>
                <c:ptCount val="1"/>
                <c:pt idx="0">
                  <c:v>Actual CSR Spend (₹ Cr)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CSR &amp; ESG'!$A$5:$A$9</c:f>
              <c:strCache>
                <c:ptCount val="5"/>
                <c:pt idx="0">
                  <c:v>Tata Consultancy Services</c:v>
                </c:pt>
                <c:pt idx="1">
                  <c:v>Reliance Industries</c:v>
                </c:pt>
                <c:pt idx="2">
                  <c:v>Infosys</c:v>
                </c:pt>
                <c:pt idx="3">
                  <c:v>HDFC Bank</c:v>
                </c:pt>
                <c:pt idx="4">
                  <c:v>ITC Limited</c:v>
                </c:pt>
              </c:strCache>
            </c:strRef>
          </c:cat>
          <c:val>
            <c:numRef>
              <c:f>'4. CSR &amp; ESG'!$D$5:$D$9</c:f>
              <c:numCache>
                <c:formatCode>#,##0</c:formatCode>
                <c:ptCount val="5"/>
                <c:pt idx="0">
                  <c:v>750</c:v>
                </c:pt>
                <c:pt idx="1">
                  <c:v>1200</c:v>
                </c:pt>
                <c:pt idx="2">
                  <c:v>400</c:v>
                </c:pt>
                <c:pt idx="3">
                  <c:v>900</c:v>
                </c:pt>
                <c:pt idx="4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6-6B41-9620-4A6829D6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32862"/>
        <c:axId val="68563858"/>
      </c:barChart>
      <c:catAx>
        <c:axId val="90832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63858"/>
        <c:crosses val="autoZero"/>
        <c:auto val="1"/>
        <c:lblAlgn val="ctr"/>
        <c:lblOffset val="100"/>
        <c:noMultiLvlLbl val="0"/>
      </c:catAx>
      <c:valAx>
        <c:axId val="68563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832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Governance Parameter Comparison (0-5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"Tata Consultancy Services"</c:f>
              <c:strCache>
                <c:ptCount val="1"/>
                <c:pt idx="0">
                  <c:v>Tata Consultancy Services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Governance Scorecard'!$A$6:$A$11</c:f>
              <c:strCache>
                <c:ptCount val="6"/>
                <c:pt idx="0">
                  <c:v>Board Independence &amp; Diversity</c:v>
                </c:pt>
                <c:pt idx="1">
                  <c:v>Committee Structure &amp; Coverage</c:v>
                </c:pt>
                <c:pt idx="2">
                  <c:v>Disclosure &amp; Transparency (Annual Report/BRSR quality)</c:v>
                </c:pt>
                <c:pt idx="3">
                  <c:v>CSR &amp; Sustainability Performance</c:v>
                </c:pt>
                <c:pt idx="4">
                  <c:v>Related Party Transaction Governance</c:v>
                </c:pt>
                <c:pt idx="5">
                  <c:v>Shareholder Rights &amp; Grievance Redressal</c:v>
                </c:pt>
              </c:strCache>
            </c:strRef>
          </c:cat>
          <c:val>
            <c:numRef>
              <c:f>'6. Governance Scorecard'!$C$6:$C$11</c:f>
              <c:numCache>
                <c:formatCode>General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F-E64E-A970-F32125E01807}"/>
            </c:ext>
          </c:extLst>
        </c:ser>
        <c:ser>
          <c:idx val="1"/>
          <c:order val="1"/>
          <c:tx>
            <c:strRef>
              <c:f>"Reliance Industries"</c:f>
              <c:strCache>
                <c:ptCount val="1"/>
                <c:pt idx="0">
                  <c:v>Reliance Industries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Governance Scorecard'!$A$6:$A$11</c:f>
              <c:strCache>
                <c:ptCount val="6"/>
                <c:pt idx="0">
                  <c:v>Board Independence &amp; Diversity</c:v>
                </c:pt>
                <c:pt idx="1">
                  <c:v>Committee Structure &amp; Coverage</c:v>
                </c:pt>
                <c:pt idx="2">
                  <c:v>Disclosure &amp; Transparency (Annual Report/BRSR quality)</c:v>
                </c:pt>
                <c:pt idx="3">
                  <c:v>CSR &amp; Sustainability Performance</c:v>
                </c:pt>
                <c:pt idx="4">
                  <c:v>Related Party Transaction Governance</c:v>
                </c:pt>
                <c:pt idx="5">
                  <c:v>Shareholder Rights &amp; Grievance Redressal</c:v>
                </c:pt>
              </c:strCache>
            </c:strRef>
          </c:cat>
          <c:val>
            <c:numRef>
              <c:f>'6. Governance Scorecard'!$D$6:$D$11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3.5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F-E64E-A970-F32125E01807}"/>
            </c:ext>
          </c:extLst>
        </c:ser>
        <c:ser>
          <c:idx val="2"/>
          <c:order val="2"/>
          <c:tx>
            <c:strRef>
              <c:f>"Infosys"</c:f>
              <c:strCache>
                <c:ptCount val="1"/>
                <c:pt idx="0">
                  <c:v>Infosys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Governance Scorecard'!$A$6:$A$11</c:f>
              <c:strCache>
                <c:ptCount val="6"/>
                <c:pt idx="0">
                  <c:v>Board Independence &amp; Diversity</c:v>
                </c:pt>
                <c:pt idx="1">
                  <c:v>Committee Structure &amp; Coverage</c:v>
                </c:pt>
                <c:pt idx="2">
                  <c:v>Disclosure &amp; Transparency (Annual Report/BRSR quality)</c:v>
                </c:pt>
                <c:pt idx="3">
                  <c:v>CSR &amp; Sustainability Performance</c:v>
                </c:pt>
                <c:pt idx="4">
                  <c:v>Related Party Transaction Governance</c:v>
                </c:pt>
                <c:pt idx="5">
                  <c:v>Shareholder Rights &amp; Grievance Redressal</c:v>
                </c:pt>
              </c:strCache>
            </c:strRef>
          </c:cat>
          <c:val>
            <c:numRef>
              <c:f>'6. Governance Scorecard'!$E$6:$E$11</c:f>
              <c:numCache>
                <c:formatCode>General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4.5</c:v>
                </c:pt>
                <c:pt idx="3">
                  <c:v>3.5</c:v>
                </c:pt>
                <c:pt idx="4">
                  <c:v>4.5</c:v>
                </c:pt>
                <c:pt idx="5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DF-E64E-A970-F32125E01807}"/>
            </c:ext>
          </c:extLst>
        </c:ser>
        <c:ser>
          <c:idx val="3"/>
          <c:order val="3"/>
          <c:tx>
            <c:strRef>
              <c:f>"HDFC Bank"</c:f>
              <c:strCache>
                <c:ptCount val="1"/>
                <c:pt idx="0">
                  <c:v>HDFC Bank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Governance Scorecard'!$A$6:$A$11</c:f>
              <c:strCache>
                <c:ptCount val="6"/>
                <c:pt idx="0">
                  <c:v>Board Independence &amp; Diversity</c:v>
                </c:pt>
                <c:pt idx="1">
                  <c:v>Committee Structure &amp; Coverage</c:v>
                </c:pt>
                <c:pt idx="2">
                  <c:v>Disclosure &amp; Transparency (Annual Report/BRSR quality)</c:v>
                </c:pt>
                <c:pt idx="3">
                  <c:v>CSR &amp; Sustainability Performance</c:v>
                </c:pt>
                <c:pt idx="4">
                  <c:v>Related Party Transaction Governance</c:v>
                </c:pt>
                <c:pt idx="5">
                  <c:v>Shareholder Rights &amp; Grievance Redressal</c:v>
                </c:pt>
              </c:strCache>
            </c:strRef>
          </c:cat>
          <c:val>
            <c:numRef>
              <c:f>'6. Governance Scorecard'!$F$6:$F$11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DF-E64E-A970-F32125E01807}"/>
            </c:ext>
          </c:extLst>
        </c:ser>
        <c:ser>
          <c:idx val="4"/>
          <c:order val="4"/>
          <c:tx>
            <c:strRef>
              <c:f>"ITC Limited"</c:f>
              <c:strCache>
                <c:ptCount val="1"/>
                <c:pt idx="0">
                  <c:v>ITC Limited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Governance Scorecard'!$A$6:$A$11</c:f>
              <c:strCache>
                <c:ptCount val="6"/>
                <c:pt idx="0">
                  <c:v>Board Independence &amp; Diversity</c:v>
                </c:pt>
                <c:pt idx="1">
                  <c:v>Committee Structure &amp; Coverage</c:v>
                </c:pt>
                <c:pt idx="2">
                  <c:v>Disclosure &amp; Transparency (Annual Report/BRSR quality)</c:v>
                </c:pt>
                <c:pt idx="3">
                  <c:v>CSR &amp; Sustainability Performance</c:v>
                </c:pt>
                <c:pt idx="4">
                  <c:v>Related Party Transaction Governance</c:v>
                </c:pt>
                <c:pt idx="5">
                  <c:v>Shareholder Rights &amp; Grievance Redressal</c:v>
                </c:pt>
              </c:strCache>
            </c:strRef>
          </c:cat>
          <c:val>
            <c:numRef>
              <c:f>'6. Governance Scorecard'!$G$6:$G$11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DF-E64E-A970-F32125E0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27797"/>
        <c:axId val="39863091"/>
      </c:barChart>
      <c:catAx>
        <c:axId val="72827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63091"/>
        <c:crosses val="autoZero"/>
        <c:auto val="1"/>
        <c:lblAlgn val="ctr"/>
        <c:lblOffset val="100"/>
        <c:noMultiLvlLbl val="0"/>
      </c:catAx>
      <c:valAx>
        <c:axId val="3986309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(0-5)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27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Composite Governance Index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 Governance Scorecard'!B19</c:f>
              <c:strCache>
                <c:ptCount val="1"/>
                <c:pt idx="0">
                  <c:v>Composite Governance Index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'6. Governance Scorecard'!$A$20:$A$24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'6. Governance Scorecard'!$B$20:$B$24</c:f>
              <c:numCache>
                <c:formatCode>0.00</c:formatCode>
                <c:ptCount val="5"/>
                <c:pt idx="0">
                  <c:v>4.5</c:v>
                </c:pt>
                <c:pt idx="1">
                  <c:v>4.0750000000000002</c:v>
                </c:pt>
                <c:pt idx="2">
                  <c:v>4.4249999999999998</c:v>
                </c:pt>
                <c:pt idx="3">
                  <c:v>4.1500000000000004</c:v>
                </c:pt>
                <c:pt idx="4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2-6F43-9101-2F0975C0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39607"/>
        <c:axId val="75260824"/>
      </c:barChart>
      <c:catAx>
        <c:axId val="1593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60824"/>
        <c:crosses val="autoZero"/>
        <c:auto val="1"/>
        <c:lblAlgn val="ctr"/>
        <c:lblOffset val="100"/>
        <c:noMultiLvlLbl val="0"/>
      </c:catAx>
      <c:valAx>
        <c:axId val="7526082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Index (out of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939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7</xdr:col>
      <xdr:colOff>629280</xdr:colOff>
      <xdr:row>34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5</xdr:col>
      <xdr:colOff>699840</xdr:colOff>
      <xdr:row>30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78120</xdr:rowOff>
    </xdr:from>
    <xdr:to>
      <xdr:col>12</xdr:col>
      <xdr:colOff>366120</xdr:colOff>
      <xdr:row>37</xdr:row>
      <xdr:rowOff>58320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25</xdr:row>
      <xdr:rowOff>78120</xdr:rowOff>
    </xdr:from>
    <xdr:to>
      <xdr:col>7</xdr:col>
      <xdr:colOff>543600</xdr:colOff>
      <xdr:row>44</xdr:row>
      <xdr:rowOff>58320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2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1" zoomScaleNormal="100" workbookViewId="0">
      <selection activeCell="B27" sqref="B27"/>
    </sheetView>
  </sheetViews>
  <sheetFormatPr defaultColWidth="8.7421875" defaultRowHeight="15" x14ac:dyDescent="0.2"/>
  <cols>
    <col min="1" max="1" width="22.05859375" customWidth="1"/>
    <col min="2" max="2" width="59.99609375" customWidth="1"/>
    <col min="3" max="6" width="13.98828125" customWidth="1"/>
  </cols>
  <sheetData>
    <row r="1" spans="1:6" ht="25.5" customHeight="1" x14ac:dyDescent="0.2">
      <c r="A1" s="22" t="s">
        <v>0</v>
      </c>
      <c r="B1" s="22"/>
      <c r="C1" s="22"/>
      <c r="D1" s="22"/>
      <c r="E1" s="22"/>
      <c r="F1" s="22"/>
    </row>
    <row r="2" spans="1:6" ht="15.75" customHeight="1" x14ac:dyDescent="0.2">
      <c r="A2" s="23" t="s">
        <v>1</v>
      </c>
      <c r="B2" s="23"/>
      <c r="C2" s="23"/>
      <c r="D2" s="23"/>
      <c r="E2" s="23"/>
      <c r="F2" s="23"/>
    </row>
    <row r="3" spans="1:6" x14ac:dyDescent="0.2">
      <c r="A3" s="1"/>
    </row>
    <row r="4" spans="1:6" x14ac:dyDescent="0.2">
      <c r="A4" s="1" t="s">
        <v>2</v>
      </c>
      <c r="B4" s="2" t="s">
        <v>3</v>
      </c>
    </row>
    <row r="5" spans="1:6" x14ac:dyDescent="0.2">
      <c r="A5" s="1" t="s">
        <v>4</v>
      </c>
      <c r="B5" s="2" t="s">
        <v>5</v>
      </c>
    </row>
    <row r="6" spans="1:6" x14ac:dyDescent="0.2">
      <c r="A6" s="1" t="s">
        <v>6</v>
      </c>
      <c r="B6" s="2" t="s">
        <v>7</v>
      </c>
    </row>
    <row r="7" spans="1:6" x14ac:dyDescent="0.2">
      <c r="A7" s="1" t="s">
        <v>8</v>
      </c>
      <c r="B7" s="2" t="s">
        <v>9</v>
      </c>
    </row>
    <row r="8" spans="1:6" x14ac:dyDescent="0.2">
      <c r="A8" s="1" t="s">
        <v>10</v>
      </c>
      <c r="B8" s="2" t="s">
        <v>11</v>
      </c>
    </row>
    <row r="9" spans="1:6" ht="39.75" customHeight="1" x14ac:dyDescent="0.2">
      <c r="A9" s="1"/>
      <c r="B9" s="24"/>
      <c r="C9" s="24"/>
      <c r="D9" s="24"/>
      <c r="E9" s="24"/>
      <c r="F9" s="24"/>
    </row>
    <row r="10" spans="1:6" x14ac:dyDescent="0.2">
      <c r="A10" s="3" t="s">
        <v>12</v>
      </c>
      <c r="B10" s="3" t="s">
        <v>13</v>
      </c>
    </row>
    <row r="12" spans="1:6" x14ac:dyDescent="0.2">
      <c r="A12" s="1" t="s">
        <v>14</v>
      </c>
    </row>
    <row r="13" spans="1:6" x14ac:dyDescent="0.2">
      <c r="A13" s="1" t="s">
        <v>15</v>
      </c>
      <c r="B13" s="2" t="s">
        <v>16</v>
      </c>
    </row>
    <row r="14" spans="1:6" x14ac:dyDescent="0.2">
      <c r="A14" s="1" t="s">
        <v>17</v>
      </c>
      <c r="B14" s="2" t="s">
        <v>18</v>
      </c>
    </row>
    <row r="15" spans="1:6" x14ac:dyDescent="0.2">
      <c r="A15" s="1" t="s">
        <v>19</v>
      </c>
      <c r="B15" s="2" t="s">
        <v>20</v>
      </c>
    </row>
    <row r="16" spans="1:6" x14ac:dyDescent="0.2">
      <c r="A16" s="1" t="s">
        <v>21</v>
      </c>
      <c r="B16" s="2" t="s">
        <v>22</v>
      </c>
    </row>
    <row r="17" spans="1:6" x14ac:dyDescent="0.2">
      <c r="A17" s="1" t="s">
        <v>23</v>
      </c>
      <c r="B17" s="2" t="s">
        <v>24</v>
      </c>
    </row>
    <row r="18" spans="1:6" x14ac:dyDescent="0.2">
      <c r="A18" s="1" t="s">
        <v>25</v>
      </c>
      <c r="B18" s="2" t="s">
        <v>26</v>
      </c>
    </row>
    <row r="19" spans="1:6" x14ac:dyDescent="0.2">
      <c r="A19" t="s">
        <v>27</v>
      </c>
      <c r="B19" t="s">
        <v>28</v>
      </c>
    </row>
    <row r="20" spans="1:6" ht="69.75" customHeight="1" x14ac:dyDescent="0.2">
      <c r="A20" s="25"/>
      <c r="B20" s="25"/>
      <c r="C20" s="25"/>
      <c r="D20" s="25"/>
      <c r="E20" s="25"/>
      <c r="F20" s="25"/>
    </row>
  </sheetData>
  <mergeCells count="4">
    <mergeCell ref="A1:F1"/>
    <mergeCell ref="A2:F2"/>
    <mergeCell ref="B9:F9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D1" zoomScaleNormal="100" workbookViewId="0"/>
  </sheetViews>
  <sheetFormatPr defaultColWidth="8.7421875" defaultRowHeight="15" x14ac:dyDescent="0.2"/>
  <cols>
    <col min="1" max="1" width="22.05859375" customWidth="1"/>
    <col min="2" max="2" width="25.9609375" customWidth="1"/>
    <col min="3" max="3" width="11.97265625" customWidth="1"/>
    <col min="4" max="4" width="18.0234375" customWidth="1"/>
    <col min="5" max="5" width="32.015625" customWidth="1"/>
    <col min="6" max="6" width="34.03125" customWidth="1"/>
  </cols>
  <sheetData>
    <row r="1" spans="1:6" ht="25.5" customHeight="1" x14ac:dyDescent="0.2">
      <c r="A1" s="22" t="s">
        <v>29</v>
      </c>
      <c r="B1" s="22"/>
      <c r="C1" s="22"/>
      <c r="D1" s="22"/>
      <c r="E1" s="22"/>
      <c r="F1" s="22"/>
    </row>
    <row r="2" spans="1:6" ht="15.75" customHeight="1" x14ac:dyDescent="0.2">
      <c r="A2" s="23" t="s">
        <v>30</v>
      </c>
      <c r="B2" s="23"/>
      <c r="C2" s="23"/>
      <c r="D2" s="23"/>
      <c r="E2" s="23"/>
      <c r="F2" s="23"/>
    </row>
    <row r="4" spans="1:6" ht="30" customHeight="1" x14ac:dyDescent="0.2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</row>
    <row r="5" spans="1:6" ht="42" customHeight="1" x14ac:dyDescent="0.2">
      <c r="A5" s="5" t="s">
        <v>37</v>
      </c>
      <c r="B5" s="5" t="s">
        <v>38</v>
      </c>
      <c r="C5" s="5">
        <v>1968</v>
      </c>
      <c r="D5" s="5" t="s">
        <v>39</v>
      </c>
      <c r="E5" s="5" t="s">
        <v>40</v>
      </c>
      <c r="F5" s="5" t="s">
        <v>41</v>
      </c>
    </row>
    <row r="6" spans="1:6" ht="42" customHeight="1" x14ac:dyDescent="0.2">
      <c r="A6" s="5" t="s">
        <v>42</v>
      </c>
      <c r="B6" s="5" t="s">
        <v>43</v>
      </c>
      <c r="C6" s="5">
        <v>1966</v>
      </c>
      <c r="D6" s="5" t="s">
        <v>39</v>
      </c>
      <c r="E6" s="5" t="s">
        <v>44</v>
      </c>
      <c r="F6" s="5" t="s">
        <v>45</v>
      </c>
    </row>
    <row r="7" spans="1:6" ht="42" customHeight="1" x14ac:dyDescent="0.2">
      <c r="A7" s="5" t="s">
        <v>46</v>
      </c>
      <c r="B7" s="5" t="s">
        <v>38</v>
      </c>
      <c r="C7" s="5">
        <v>1981</v>
      </c>
      <c r="D7" s="5" t="s">
        <v>47</v>
      </c>
      <c r="E7" s="5" t="s">
        <v>48</v>
      </c>
      <c r="F7" s="5" t="s">
        <v>49</v>
      </c>
    </row>
    <row r="8" spans="1:6" ht="42" customHeight="1" x14ac:dyDescent="0.2">
      <c r="A8" s="5" t="s">
        <v>50</v>
      </c>
      <c r="B8" s="5" t="s">
        <v>51</v>
      </c>
      <c r="C8" s="5">
        <v>1994</v>
      </c>
      <c r="D8" s="5" t="s">
        <v>47</v>
      </c>
      <c r="E8" s="5" t="s">
        <v>52</v>
      </c>
      <c r="F8" s="5" t="s">
        <v>53</v>
      </c>
    </row>
    <row r="9" spans="1:6" ht="42" customHeight="1" x14ac:dyDescent="0.2">
      <c r="A9" s="5" t="s">
        <v>54</v>
      </c>
      <c r="B9" s="5" t="s">
        <v>55</v>
      </c>
      <c r="C9" s="5">
        <v>1910</v>
      </c>
      <c r="D9" s="5" t="s">
        <v>39</v>
      </c>
      <c r="E9" s="5" t="s">
        <v>56</v>
      </c>
      <c r="F9" s="5" t="s">
        <v>57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opLeftCell="F1" zoomScaleNormal="100" workbookViewId="0"/>
  </sheetViews>
  <sheetFormatPr defaultColWidth="8.7421875" defaultRowHeight="15" x14ac:dyDescent="0.2"/>
  <cols>
    <col min="1" max="1" width="22.05859375" customWidth="1"/>
    <col min="2" max="2" width="13.98828125" customWidth="1"/>
    <col min="3" max="3" width="11.97265625" customWidth="1"/>
    <col min="4" max="4" width="16.0078125" customWidth="1"/>
    <col min="5" max="6" width="13.98828125" customWidth="1"/>
    <col min="7" max="7" width="13.046875" customWidth="1"/>
    <col min="8" max="8" width="16.0078125" customWidth="1"/>
    <col min="9" max="9" width="14.9296875" customWidth="1"/>
  </cols>
  <sheetData>
    <row r="1" spans="1:9" ht="25.5" customHeight="1" x14ac:dyDescent="0.2">
      <c r="A1" s="22" t="s">
        <v>58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">
      <c r="A2" s="23" t="s">
        <v>59</v>
      </c>
      <c r="B2" s="23"/>
      <c r="C2" s="23"/>
      <c r="D2" s="23"/>
      <c r="E2" s="23"/>
      <c r="F2" s="23"/>
      <c r="G2" s="23"/>
      <c r="H2" s="23"/>
      <c r="I2" s="23"/>
    </row>
    <row r="4" spans="1:9" ht="33.75" customHeight="1" x14ac:dyDescent="0.2">
      <c r="A4" s="4" t="s">
        <v>31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</row>
    <row r="5" spans="1:9" x14ac:dyDescent="0.2">
      <c r="A5" s="5" t="s">
        <v>37</v>
      </c>
      <c r="B5" s="6">
        <v>11</v>
      </c>
      <c r="C5" s="6">
        <v>2</v>
      </c>
      <c r="D5" s="6">
        <v>2</v>
      </c>
      <c r="E5" s="6">
        <v>7</v>
      </c>
      <c r="F5" s="7">
        <f>E5/B5</f>
        <v>0.63636363636363635</v>
      </c>
      <c r="G5" s="6">
        <v>2</v>
      </c>
      <c r="H5" s="6">
        <v>6</v>
      </c>
      <c r="I5" s="6">
        <v>96</v>
      </c>
    </row>
    <row r="6" spans="1:9" x14ac:dyDescent="0.2">
      <c r="A6" s="5" t="s">
        <v>42</v>
      </c>
      <c r="B6" s="6">
        <v>12</v>
      </c>
      <c r="C6" s="6">
        <v>3</v>
      </c>
      <c r="D6" s="6">
        <v>3</v>
      </c>
      <c r="E6" s="6">
        <v>6</v>
      </c>
      <c r="F6" s="7">
        <f>E6/B6</f>
        <v>0.5</v>
      </c>
      <c r="G6" s="6">
        <v>3</v>
      </c>
      <c r="H6" s="6">
        <v>7</v>
      </c>
      <c r="I6" s="6">
        <v>92</v>
      </c>
    </row>
    <row r="7" spans="1:9" x14ac:dyDescent="0.2">
      <c r="A7" s="5" t="s">
        <v>46</v>
      </c>
      <c r="B7" s="6">
        <v>10</v>
      </c>
      <c r="C7" s="6">
        <v>2</v>
      </c>
      <c r="D7" s="6">
        <v>1</v>
      </c>
      <c r="E7" s="6">
        <v>7</v>
      </c>
      <c r="F7" s="7">
        <f>E7/B7</f>
        <v>0.7</v>
      </c>
      <c r="G7" s="6">
        <v>3</v>
      </c>
      <c r="H7" s="6">
        <v>8</v>
      </c>
      <c r="I7" s="6">
        <v>98</v>
      </c>
    </row>
    <row r="8" spans="1:9" x14ac:dyDescent="0.2">
      <c r="A8" s="5" t="s">
        <v>50</v>
      </c>
      <c r="B8" s="6">
        <v>14</v>
      </c>
      <c r="C8" s="6">
        <v>2</v>
      </c>
      <c r="D8" s="6">
        <v>3</v>
      </c>
      <c r="E8" s="6">
        <v>9</v>
      </c>
      <c r="F8" s="7">
        <f>E8/B8</f>
        <v>0.6428571428571429</v>
      </c>
      <c r="G8" s="6">
        <v>4</v>
      </c>
      <c r="H8" s="6">
        <v>12</v>
      </c>
      <c r="I8" s="6">
        <v>94</v>
      </c>
    </row>
    <row r="9" spans="1:9" x14ac:dyDescent="0.2">
      <c r="A9" s="5" t="s">
        <v>54</v>
      </c>
      <c r="B9" s="6">
        <v>13</v>
      </c>
      <c r="C9" s="6">
        <v>2</v>
      </c>
      <c r="D9" s="6">
        <v>4</v>
      </c>
      <c r="E9" s="6">
        <v>7</v>
      </c>
      <c r="F9" s="7">
        <f>E9/B9</f>
        <v>0.53846153846153844</v>
      </c>
      <c r="G9" s="6">
        <v>3</v>
      </c>
      <c r="H9" s="6">
        <v>6</v>
      </c>
      <c r="I9" s="6">
        <v>95</v>
      </c>
    </row>
    <row r="11" spans="1:9" x14ac:dyDescent="0.2">
      <c r="A11" s="8" t="s">
        <v>68</v>
      </c>
      <c r="B11" s="9">
        <f>AVERAGE(B5:B9)</f>
        <v>12</v>
      </c>
      <c r="C11" s="9">
        <f>AVERAGE(C5:C9)</f>
        <v>2.2000000000000002</v>
      </c>
      <c r="D11" s="9">
        <f>AVERAGE(D5:D9)</f>
        <v>2.6</v>
      </c>
      <c r="E11" s="9">
        <f>AVERAGE(E5:E9)</f>
        <v>7.2</v>
      </c>
      <c r="F11" s="10">
        <f>AVERAGE(F5:F9)</f>
        <v>0.60353646353646351</v>
      </c>
      <c r="G11" s="9">
        <f>AVERAGE(G5:G9)</f>
        <v>3</v>
      </c>
      <c r="H11" s="9">
        <f>AVERAGE(H5:H9)</f>
        <v>7.8</v>
      </c>
      <c r="I11" s="9">
        <f>AVERAGE(I5:I9)</f>
        <v>95</v>
      </c>
    </row>
    <row r="13" spans="1:9" x14ac:dyDescent="0.2">
      <c r="A13" s="11" t="s">
        <v>69</v>
      </c>
      <c r="F13" s="12">
        <v>0.5</v>
      </c>
    </row>
    <row r="14" spans="1:9" ht="39.75" customHeight="1" x14ac:dyDescent="0.2">
      <c r="A14" s="26" t="s">
        <v>70</v>
      </c>
      <c r="B14" s="26"/>
      <c r="C14" s="26"/>
      <c r="D14" s="26"/>
      <c r="E14" s="26"/>
      <c r="F14" s="26"/>
      <c r="G14" s="26"/>
      <c r="H14" s="26"/>
      <c r="I14" s="26"/>
    </row>
  </sheetData>
  <mergeCells count="3">
    <mergeCell ref="A1:I1"/>
    <mergeCell ref="A2:I2"/>
    <mergeCell ref="A14:I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opLeftCell="D1" zoomScaleNormal="100" workbookViewId="0"/>
  </sheetViews>
  <sheetFormatPr defaultColWidth="8.7421875" defaultRowHeight="15" x14ac:dyDescent="0.2"/>
  <cols>
    <col min="1" max="1" width="22.05859375" customWidth="1"/>
    <col min="2" max="2" width="14.9296875" customWidth="1"/>
    <col min="3" max="4" width="22.05859375" customWidth="1"/>
    <col min="5" max="5" width="13.046875" customWidth="1"/>
    <col min="6" max="6" width="20.04296875" customWidth="1"/>
    <col min="7" max="7" width="13.98828125" customWidth="1"/>
    <col min="8" max="8" width="32.015625" customWidth="1"/>
  </cols>
  <sheetData>
    <row r="1" spans="1:8" ht="25.5" customHeight="1" x14ac:dyDescent="0.2">
      <c r="A1" s="22" t="s">
        <v>71</v>
      </c>
      <c r="B1" s="22"/>
      <c r="C1" s="22"/>
      <c r="D1" s="22"/>
      <c r="E1" s="22"/>
      <c r="F1" s="22"/>
      <c r="G1" s="22"/>
      <c r="H1" s="22"/>
    </row>
    <row r="2" spans="1:8" ht="15.75" customHeight="1" x14ac:dyDescent="0.2">
      <c r="A2" s="23" t="s">
        <v>72</v>
      </c>
      <c r="B2" s="23"/>
      <c r="C2" s="23"/>
      <c r="D2" s="23"/>
      <c r="E2" s="23"/>
      <c r="F2" s="23"/>
      <c r="G2" s="23"/>
      <c r="H2" s="23"/>
    </row>
    <row r="4" spans="1:8" ht="39.75" customHeight="1" x14ac:dyDescent="0.2">
      <c r="A4" s="4" t="s">
        <v>31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79</v>
      </c>
    </row>
    <row r="5" spans="1:8" x14ac:dyDescent="0.2">
      <c r="A5" s="5" t="s">
        <v>37</v>
      </c>
      <c r="B5" s="6" t="s">
        <v>80</v>
      </c>
      <c r="C5" s="6" t="s">
        <v>80</v>
      </c>
      <c r="D5" s="6" t="s">
        <v>80</v>
      </c>
      <c r="E5" s="6" t="s">
        <v>80</v>
      </c>
      <c r="F5" s="6" t="s">
        <v>80</v>
      </c>
      <c r="G5" s="6">
        <f>COUNTIF(B5:F5,"Y")</f>
        <v>5</v>
      </c>
      <c r="H5" s="5" t="s">
        <v>81</v>
      </c>
    </row>
    <row r="6" spans="1:8" ht="24.75" x14ac:dyDescent="0.2">
      <c r="A6" s="5" t="s">
        <v>42</v>
      </c>
      <c r="B6" s="6" t="s">
        <v>80</v>
      </c>
      <c r="C6" s="6" t="s">
        <v>80</v>
      </c>
      <c r="D6" s="6" t="s">
        <v>80</v>
      </c>
      <c r="E6" s="6" t="s">
        <v>80</v>
      </c>
      <c r="F6" s="6" t="s">
        <v>80</v>
      </c>
      <c r="G6" s="6">
        <f>COUNTIF(B6:F6,"Y")</f>
        <v>5</v>
      </c>
      <c r="H6" s="5" t="s">
        <v>82</v>
      </c>
    </row>
    <row r="7" spans="1:8" x14ac:dyDescent="0.2">
      <c r="A7" s="5" t="s">
        <v>46</v>
      </c>
      <c r="B7" s="6" t="s">
        <v>80</v>
      </c>
      <c r="C7" s="6" t="s">
        <v>80</v>
      </c>
      <c r="D7" s="6" t="s">
        <v>80</v>
      </c>
      <c r="E7" s="6" t="s">
        <v>80</v>
      </c>
      <c r="F7" s="6" t="s">
        <v>80</v>
      </c>
      <c r="G7" s="6">
        <f>COUNTIF(B7:F7,"Y")</f>
        <v>5</v>
      </c>
      <c r="H7" s="5" t="s">
        <v>83</v>
      </c>
    </row>
    <row r="8" spans="1:8" ht="24.75" x14ac:dyDescent="0.2">
      <c r="A8" s="5" t="s">
        <v>50</v>
      </c>
      <c r="B8" s="6" t="s">
        <v>80</v>
      </c>
      <c r="C8" s="6" t="s">
        <v>80</v>
      </c>
      <c r="D8" s="6" t="s">
        <v>80</v>
      </c>
      <c r="E8" s="6" t="s">
        <v>80</v>
      </c>
      <c r="F8" s="6" t="s">
        <v>80</v>
      </c>
      <c r="G8" s="6">
        <f>COUNTIF(B8:F8,"Y")</f>
        <v>5</v>
      </c>
      <c r="H8" s="5" t="s">
        <v>84</v>
      </c>
    </row>
    <row r="9" spans="1:8" x14ac:dyDescent="0.2">
      <c r="A9" s="5" t="s">
        <v>54</v>
      </c>
      <c r="B9" s="6" t="s">
        <v>80</v>
      </c>
      <c r="C9" s="6" t="s">
        <v>80</v>
      </c>
      <c r="D9" s="6" t="s">
        <v>80</v>
      </c>
      <c r="E9" s="6" t="s">
        <v>80</v>
      </c>
      <c r="F9" s="6" t="s">
        <v>80</v>
      </c>
      <c r="G9" s="6">
        <f>COUNTIF(B9:F9,"Y")</f>
        <v>5</v>
      </c>
      <c r="H9" s="5" t="s">
        <v>83</v>
      </c>
    </row>
    <row r="11" spans="1:8" ht="39.75" customHeight="1" x14ac:dyDescent="0.2">
      <c r="A11" s="26" t="s">
        <v>85</v>
      </c>
      <c r="B11" s="26"/>
      <c r="C11" s="26"/>
      <c r="D11" s="26"/>
      <c r="E11" s="26"/>
      <c r="F11" s="26"/>
      <c r="G11" s="26"/>
      <c r="H11" s="26"/>
    </row>
  </sheetData>
  <mergeCells count="3">
    <mergeCell ref="A1:H1"/>
    <mergeCell ref="A2:H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zoomScaleNormal="100" workbookViewId="0"/>
  </sheetViews>
  <sheetFormatPr defaultColWidth="8.7421875" defaultRowHeight="15" x14ac:dyDescent="0.2"/>
  <cols>
    <col min="1" max="3" width="22.05859375" customWidth="1"/>
    <col min="4" max="4" width="18.0234375" customWidth="1"/>
    <col min="5" max="5" width="20.04296875" customWidth="1"/>
    <col min="6" max="6" width="13.98828125" customWidth="1"/>
    <col min="7" max="7" width="25.9609375" customWidth="1"/>
  </cols>
  <sheetData>
    <row r="1" spans="1:8" ht="25.5" customHeight="1" x14ac:dyDescent="0.2">
      <c r="A1" s="22" t="s">
        <v>86</v>
      </c>
      <c r="B1" s="22"/>
      <c r="C1" s="22"/>
      <c r="D1" s="22"/>
      <c r="E1" s="22"/>
      <c r="F1" s="22"/>
      <c r="G1" s="22"/>
      <c r="H1" s="22"/>
    </row>
    <row r="2" spans="1:8" ht="15.75" customHeight="1" x14ac:dyDescent="0.2">
      <c r="A2" s="23" t="s">
        <v>87</v>
      </c>
      <c r="B2" s="23"/>
      <c r="C2" s="23"/>
      <c r="D2" s="23"/>
      <c r="E2" s="23"/>
      <c r="F2" s="23"/>
      <c r="G2" s="23"/>
      <c r="H2" s="23"/>
    </row>
    <row r="4" spans="1:8" ht="39.75" customHeight="1" x14ac:dyDescent="0.2">
      <c r="A4" s="4" t="s">
        <v>31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</row>
    <row r="5" spans="1:8" x14ac:dyDescent="0.2">
      <c r="A5" s="5" t="s">
        <v>37</v>
      </c>
      <c r="B5" s="13">
        <v>45000</v>
      </c>
      <c r="C5" s="13">
        <f>B5*0.02</f>
        <v>900</v>
      </c>
      <c r="D5" s="13">
        <v>750</v>
      </c>
      <c r="E5" s="7">
        <f>D5/C5</f>
        <v>0.83333333333333337</v>
      </c>
      <c r="F5" s="6" t="s">
        <v>80</v>
      </c>
      <c r="G5" s="6" t="s">
        <v>80</v>
      </c>
    </row>
    <row r="6" spans="1:8" x14ac:dyDescent="0.2">
      <c r="A6" s="5" t="s">
        <v>42</v>
      </c>
      <c r="B6" s="13">
        <v>68000</v>
      </c>
      <c r="C6" s="13">
        <f>B6*0.02</f>
        <v>1360</v>
      </c>
      <c r="D6" s="13">
        <v>1200</v>
      </c>
      <c r="E6" s="7">
        <f>D6/C6</f>
        <v>0.88235294117647056</v>
      </c>
      <c r="F6" s="6" t="s">
        <v>80</v>
      </c>
      <c r="G6" s="6" t="s">
        <v>80</v>
      </c>
    </row>
    <row r="7" spans="1:8" x14ac:dyDescent="0.2">
      <c r="A7" s="5" t="s">
        <v>46</v>
      </c>
      <c r="B7" s="13">
        <v>26000</v>
      </c>
      <c r="C7" s="13">
        <f>B7*0.02</f>
        <v>520</v>
      </c>
      <c r="D7" s="13">
        <v>400</v>
      </c>
      <c r="E7" s="7">
        <f>D7/C7</f>
        <v>0.76923076923076927</v>
      </c>
      <c r="F7" s="6" t="s">
        <v>80</v>
      </c>
      <c r="G7" s="6" t="s">
        <v>80</v>
      </c>
    </row>
    <row r="8" spans="1:8" x14ac:dyDescent="0.2">
      <c r="A8" s="5" t="s">
        <v>50</v>
      </c>
      <c r="B8" s="13">
        <v>52000</v>
      </c>
      <c r="C8" s="13">
        <f>B8*0.02</f>
        <v>1040</v>
      </c>
      <c r="D8" s="13">
        <v>900</v>
      </c>
      <c r="E8" s="7">
        <f>D8/C8</f>
        <v>0.86538461538461542</v>
      </c>
      <c r="F8" s="6" t="s">
        <v>80</v>
      </c>
      <c r="G8" s="6" t="s">
        <v>80</v>
      </c>
    </row>
    <row r="9" spans="1:8" x14ac:dyDescent="0.2">
      <c r="A9" s="5" t="s">
        <v>54</v>
      </c>
      <c r="B9" s="13">
        <v>19500</v>
      </c>
      <c r="C9" s="13">
        <f>B9*0.02</f>
        <v>390</v>
      </c>
      <c r="D9" s="13">
        <v>350</v>
      </c>
      <c r="E9" s="7">
        <f>D9/C9</f>
        <v>0.89743589743589747</v>
      </c>
      <c r="F9" s="6" t="s">
        <v>80</v>
      </c>
      <c r="G9" s="6" t="s">
        <v>80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Normal="100" workbookViewId="0"/>
  </sheetViews>
  <sheetFormatPr defaultColWidth="8.7421875" defaultRowHeight="15" x14ac:dyDescent="0.2"/>
  <cols>
    <col min="1" max="1" width="22.05859375" customWidth="1"/>
    <col min="2" max="2" width="20.04296875" customWidth="1"/>
    <col min="3" max="3" width="22.05859375" customWidth="1"/>
    <col min="4" max="5" width="20.04296875" customWidth="1"/>
    <col min="6" max="6" width="22.05859375" customWidth="1"/>
  </cols>
  <sheetData>
    <row r="1" spans="1:6" ht="25.5" customHeight="1" x14ac:dyDescent="0.2">
      <c r="A1" s="22" t="s">
        <v>94</v>
      </c>
      <c r="B1" s="22"/>
      <c r="C1" s="22"/>
      <c r="D1" s="22"/>
      <c r="E1" s="22"/>
      <c r="F1" s="22"/>
    </row>
    <row r="2" spans="1:6" ht="15.75" customHeight="1" x14ac:dyDescent="0.2">
      <c r="A2" s="23" t="s">
        <v>95</v>
      </c>
      <c r="B2" s="23"/>
      <c r="C2" s="23"/>
      <c r="D2" s="23"/>
      <c r="E2" s="23"/>
      <c r="F2" s="23"/>
    </row>
    <row r="4" spans="1:6" ht="33.75" customHeight="1" x14ac:dyDescent="0.2">
      <c r="A4" s="4" t="s">
        <v>31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100</v>
      </c>
    </row>
    <row r="5" spans="1:6" x14ac:dyDescent="0.2">
      <c r="A5" s="5" t="s">
        <v>37</v>
      </c>
      <c r="B5" s="6" t="s">
        <v>80</v>
      </c>
      <c r="C5" s="6" t="s">
        <v>80</v>
      </c>
      <c r="D5" s="6" t="s">
        <v>80</v>
      </c>
      <c r="E5" s="6" t="s">
        <v>80</v>
      </c>
      <c r="F5" s="6" t="s">
        <v>80</v>
      </c>
    </row>
    <row r="6" spans="1:6" x14ac:dyDescent="0.2">
      <c r="A6" s="5" t="s">
        <v>42</v>
      </c>
      <c r="B6" s="6" t="s">
        <v>80</v>
      </c>
      <c r="C6" s="6" t="s">
        <v>80</v>
      </c>
      <c r="D6" s="6" t="s">
        <v>80</v>
      </c>
      <c r="E6" s="6" t="s">
        <v>80</v>
      </c>
      <c r="F6" s="6" t="s">
        <v>80</v>
      </c>
    </row>
    <row r="7" spans="1:6" x14ac:dyDescent="0.2">
      <c r="A7" s="5" t="s">
        <v>46</v>
      </c>
      <c r="B7" s="6" t="s">
        <v>80</v>
      </c>
      <c r="C7" s="6" t="s">
        <v>80</v>
      </c>
      <c r="D7" s="6" t="s">
        <v>80</v>
      </c>
      <c r="E7" s="6" t="s">
        <v>80</v>
      </c>
      <c r="F7" s="6" t="s">
        <v>80</v>
      </c>
    </row>
    <row r="8" spans="1:6" x14ac:dyDescent="0.2">
      <c r="A8" s="5" t="s">
        <v>50</v>
      </c>
      <c r="B8" s="6" t="s">
        <v>80</v>
      </c>
      <c r="C8" s="6" t="s">
        <v>80</v>
      </c>
      <c r="D8" s="6" t="s">
        <v>80</v>
      </c>
      <c r="E8" s="6" t="s">
        <v>80</v>
      </c>
      <c r="F8" s="6" t="s">
        <v>80</v>
      </c>
    </row>
    <row r="9" spans="1:6" x14ac:dyDescent="0.2">
      <c r="A9" s="5" t="s">
        <v>54</v>
      </c>
      <c r="B9" s="6" t="s">
        <v>80</v>
      </c>
      <c r="C9" s="6" t="s">
        <v>80</v>
      </c>
      <c r="D9" s="6" t="s">
        <v>80</v>
      </c>
      <c r="E9" s="6" t="s">
        <v>80</v>
      </c>
      <c r="F9" s="6" t="s">
        <v>80</v>
      </c>
    </row>
    <row r="11" spans="1:6" ht="49.5" customHeight="1" x14ac:dyDescent="0.2">
      <c r="A11" s="26" t="s">
        <v>101</v>
      </c>
      <c r="B11" s="26"/>
      <c r="C11" s="26"/>
      <c r="D11" s="26"/>
      <c r="E11" s="26"/>
      <c r="F11" s="26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topLeftCell="D1" zoomScaleNormal="100" workbookViewId="0"/>
  </sheetViews>
  <sheetFormatPr defaultColWidth="8.7421875" defaultRowHeight="15" x14ac:dyDescent="0.2"/>
  <cols>
    <col min="1" max="1" width="37.93359375" customWidth="1"/>
    <col min="2" max="2" width="11.97265625" customWidth="1"/>
    <col min="3" max="3" width="9.953125" customWidth="1"/>
    <col min="4" max="4" width="18.0234375" customWidth="1"/>
    <col min="5" max="5" width="9.953125" customWidth="1"/>
    <col min="6" max="7" width="11.97265625" customWidth="1"/>
  </cols>
  <sheetData>
    <row r="1" spans="1:9" ht="25.5" customHeight="1" x14ac:dyDescent="0.2">
      <c r="A1" s="22" t="s">
        <v>102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">
      <c r="A2" s="23" t="s">
        <v>103</v>
      </c>
      <c r="B2" s="23"/>
      <c r="C2" s="23"/>
      <c r="D2" s="23"/>
      <c r="E2" s="23"/>
      <c r="F2" s="23"/>
      <c r="G2" s="23"/>
      <c r="H2" s="23"/>
      <c r="I2" s="23"/>
    </row>
    <row r="4" spans="1:9" x14ac:dyDescent="0.2">
      <c r="A4" t="s">
        <v>104</v>
      </c>
      <c r="B4" t="s">
        <v>105</v>
      </c>
      <c r="C4" t="s">
        <v>106</v>
      </c>
      <c r="D4" t="s">
        <v>42</v>
      </c>
      <c r="E4" t="s">
        <v>46</v>
      </c>
      <c r="F4" t="s">
        <v>50</v>
      </c>
      <c r="G4" t="s">
        <v>54</v>
      </c>
    </row>
    <row r="5" spans="1:9" ht="30" customHeight="1" x14ac:dyDescent="0.2">
      <c r="A5" s="4"/>
      <c r="B5" s="4"/>
      <c r="C5" s="4"/>
      <c r="D5" s="4"/>
      <c r="E5" s="4"/>
      <c r="F5" s="4"/>
      <c r="G5" s="4"/>
    </row>
    <row r="6" spans="1:9" x14ac:dyDescent="0.2">
      <c r="A6" s="5" t="s">
        <v>107</v>
      </c>
      <c r="B6" s="14">
        <v>20</v>
      </c>
      <c r="C6" s="15">
        <v>4.5</v>
      </c>
      <c r="D6" s="15">
        <v>4</v>
      </c>
      <c r="E6" s="15">
        <v>4.5</v>
      </c>
      <c r="F6" s="15">
        <v>4</v>
      </c>
      <c r="G6" s="15">
        <v>4</v>
      </c>
    </row>
    <row r="7" spans="1:9" x14ac:dyDescent="0.2">
      <c r="A7" s="5" t="s">
        <v>108</v>
      </c>
      <c r="B7" s="14">
        <v>15</v>
      </c>
      <c r="C7" s="15">
        <v>5</v>
      </c>
      <c r="D7" s="15">
        <v>5</v>
      </c>
      <c r="E7" s="15">
        <v>5</v>
      </c>
      <c r="F7" s="15">
        <v>5</v>
      </c>
      <c r="G7" s="15">
        <v>5</v>
      </c>
    </row>
    <row r="8" spans="1:9" ht="24.75" x14ac:dyDescent="0.2">
      <c r="A8" s="5" t="s">
        <v>109</v>
      </c>
      <c r="B8" s="14">
        <v>20</v>
      </c>
      <c r="C8" s="15">
        <v>4.5</v>
      </c>
      <c r="D8" s="15">
        <v>4</v>
      </c>
      <c r="E8" s="15">
        <v>4.5</v>
      </c>
      <c r="F8" s="15">
        <v>4</v>
      </c>
      <c r="G8" s="15">
        <v>4</v>
      </c>
    </row>
    <row r="9" spans="1:9" x14ac:dyDescent="0.2">
      <c r="A9" s="5" t="s">
        <v>110</v>
      </c>
      <c r="B9" s="14">
        <v>15</v>
      </c>
      <c r="C9" s="15">
        <v>4</v>
      </c>
      <c r="D9" s="15">
        <v>4</v>
      </c>
      <c r="E9" s="15">
        <v>3.5</v>
      </c>
      <c r="F9" s="15">
        <v>4</v>
      </c>
      <c r="G9" s="15">
        <v>4</v>
      </c>
    </row>
    <row r="10" spans="1:9" x14ac:dyDescent="0.2">
      <c r="A10" s="5" t="s">
        <v>111</v>
      </c>
      <c r="B10" s="14">
        <v>15</v>
      </c>
      <c r="C10" s="15">
        <v>4.5</v>
      </c>
      <c r="D10" s="15">
        <v>3.5</v>
      </c>
      <c r="E10" s="15">
        <v>4.5</v>
      </c>
      <c r="F10" s="15">
        <v>4</v>
      </c>
      <c r="G10" s="15">
        <v>4</v>
      </c>
    </row>
    <row r="11" spans="1:9" x14ac:dyDescent="0.2">
      <c r="A11" s="5" t="s">
        <v>112</v>
      </c>
      <c r="B11" s="14">
        <v>15</v>
      </c>
      <c r="C11" s="15">
        <v>4.5</v>
      </c>
      <c r="D11" s="15">
        <v>4</v>
      </c>
      <c r="E11" s="15">
        <v>4.5</v>
      </c>
      <c r="F11" s="15">
        <v>4</v>
      </c>
      <c r="G11" s="15">
        <v>4</v>
      </c>
    </row>
    <row r="12" spans="1:9" x14ac:dyDescent="0.2">
      <c r="A12" s="1" t="s">
        <v>113</v>
      </c>
      <c r="B12" s="16">
        <f>SUM(B6:B11)</f>
        <v>100</v>
      </c>
    </row>
    <row r="14" spans="1:9" x14ac:dyDescent="0.2">
      <c r="A14" s="17" t="s">
        <v>114</v>
      </c>
      <c r="C14" s="18">
        <f>SUMPRODUCT($B$6:$B$11,C6:C11)/SUM($B$6:$B$11)</f>
        <v>4.5</v>
      </c>
      <c r="D14" s="18">
        <f>SUMPRODUCT($B$6:$B$11,D6:D11)/SUM($B$6:$B$11)</f>
        <v>4.0750000000000002</v>
      </c>
      <c r="E14" s="18">
        <f>SUMPRODUCT($B$6:$B$11,E6:E11)/SUM($B$6:$B$11)</f>
        <v>4.4249999999999998</v>
      </c>
      <c r="F14" s="18">
        <f>SUMPRODUCT($B$6:$B$11,F6:F11)/SUM($B$6:$B$11)</f>
        <v>4.1500000000000004</v>
      </c>
      <c r="G14" s="18">
        <f>SUMPRODUCT($B$6:$B$11,G6:G11)/SUM($B$6:$B$11)</f>
        <v>4.1500000000000004</v>
      </c>
    </row>
    <row r="15" spans="1:9" x14ac:dyDescent="0.2">
      <c r="A15" s="1" t="s">
        <v>115</v>
      </c>
      <c r="C15" s="19">
        <f>RANK(C14,$C$14:$G$14)</f>
        <v>1</v>
      </c>
      <c r="D15" s="19">
        <f>RANK(D14,$C$14:$G$14)</f>
        <v>5</v>
      </c>
      <c r="E15" s="19">
        <f>RANK(E14,$C$14:$G$14)</f>
        <v>2</v>
      </c>
      <c r="F15" s="19">
        <f>RANK(F14,$C$14:$G$14)</f>
        <v>3</v>
      </c>
      <c r="G15" s="19">
        <f>RANK(G14,$C$14:$G$14)</f>
        <v>3</v>
      </c>
    </row>
    <row r="17" spans="1:7" ht="69.75" customHeight="1" x14ac:dyDescent="0.2">
      <c r="A17" s="25" t="s">
        <v>116</v>
      </c>
      <c r="B17" s="25"/>
      <c r="C17" s="25"/>
      <c r="D17" s="25"/>
      <c r="E17" s="25"/>
      <c r="F17" s="25"/>
      <c r="G17" s="25"/>
    </row>
    <row r="19" spans="1:7" x14ac:dyDescent="0.2">
      <c r="A19" s="3" t="s">
        <v>31</v>
      </c>
      <c r="B19" s="3" t="s">
        <v>117</v>
      </c>
    </row>
    <row r="20" spans="1:7" x14ac:dyDescent="0.2">
      <c r="A20" s="20">
        <f>'6. Governance Scorecard'!C5</f>
        <v>0</v>
      </c>
      <c r="B20" s="21">
        <f>'6. Governance Scorecard'!C14</f>
        <v>4.5</v>
      </c>
    </row>
    <row r="21" spans="1:7" x14ac:dyDescent="0.2">
      <c r="A21" s="20">
        <f>'6. Governance Scorecard'!D5</f>
        <v>0</v>
      </c>
      <c r="B21" s="21">
        <f>'6. Governance Scorecard'!D14</f>
        <v>4.0750000000000002</v>
      </c>
    </row>
    <row r="22" spans="1:7" x14ac:dyDescent="0.2">
      <c r="A22" s="20">
        <f>'6. Governance Scorecard'!E5</f>
        <v>0</v>
      </c>
      <c r="B22" s="21">
        <f>'6. Governance Scorecard'!E14</f>
        <v>4.4249999999999998</v>
      </c>
    </row>
    <row r="23" spans="1:7" x14ac:dyDescent="0.2">
      <c r="A23" s="20">
        <f>'6. Governance Scorecard'!F5</f>
        <v>0</v>
      </c>
      <c r="B23" s="21">
        <f>'6. Governance Scorecard'!F14</f>
        <v>4.1500000000000004</v>
      </c>
    </row>
    <row r="24" spans="1:7" x14ac:dyDescent="0.2">
      <c r="A24" s="20">
        <f>'6. Governance Scorecard'!G5</f>
        <v>0</v>
      </c>
      <c r="B24" s="21">
        <f>'6. Governance Scorecard'!G14</f>
        <v>4.1500000000000004</v>
      </c>
    </row>
  </sheetData>
  <mergeCells count="3">
    <mergeCell ref="A1:I1"/>
    <mergeCell ref="A2:I2"/>
    <mergeCell ref="A17:G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1. Company Profile</vt:lpstr>
      <vt:lpstr>2. Board Composition</vt:lpstr>
      <vt:lpstr>3. Committee Structure</vt:lpstr>
      <vt:lpstr>4. CSR &amp; ESG</vt:lpstr>
      <vt:lpstr>5. Related Party &amp; Risk</vt:lpstr>
      <vt:lpstr>6. Governance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2026-08-14T07:17:59Z</dcterms:created>
  <dcterms:modified xsi:type="dcterms:W3CDTF">2026-08-14T07:18:02Z</dcterms:modified>
  <dc:language>en-US</dc:language>
</cp:coreProperties>
</file>